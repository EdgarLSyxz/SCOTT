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xampp\htdocs\Laravel\SCOTT\documents\"/>
    </mc:Choice>
  </mc:AlternateContent>
  <xr:revisionPtr revIDLastSave="0" documentId="13_ncr:1_{CEB2AB30-8073-4FEE-B85C-BF9533CBA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P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8" i="1"/>
  <c r="B5" i="1"/>
  <c r="B16" i="1" s="1"/>
  <c r="C4" i="1"/>
  <c r="B4" i="1"/>
  <c r="B6" i="1" l="1"/>
  <c r="B14" i="1" s="1"/>
  <c r="C15" i="1" s="1"/>
  <c r="B9" i="1"/>
  <c r="B13" i="1"/>
  <c r="B15" i="1" l="1"/>
</calcChain>
</file>

<file path=xl/sharedStrings.xml><?xml version="1.0" encoding="utf-8"?>
<sst xmlns="http://schemas.openxmlformats.org/spreadsheetml/2006/main" count="18" uniqueCount="18">
  <si>
    <t>Descripción</t>
  </si>
  <si>
    <t xml:space="preserve">StarTV Stream </t>
  </si>
  <si>
    <t>StarTV Everywhere</t>
  </si>
  <si>
    <t>Usuarios (Marketing)</t>
  </si>
  <si>
    <t>Dispositivos Simultáneos por Usuario (Fijo)</t>
  </si>
  <si>
    <t xml:space="preserve">Dispositivos </t>
  </si>
  <si>
    <t>Usuarios Totales</t>
  </si>
  <si>
    <t>Dispositivos Totales</t>
  </si>
  <si>
    <t>Bandwidth Promedio de Consumo (Mbps) por Dispositivo OTT (Fijo)</t>
  </si>
  <si>
    <t>Consumo Promedio en una Hora (GB) por Dispositivo OTT</t>
  </si>
  <si>
    <t>Consumo (GB) por Dispositivo OTT</t>
  </si>
  <si>
    <t>GiB Consumidos</t>
  </si>
  <si>
    <t xml:space="preserve">TB Consumidos </t>
  </si>
  <si>
    <t>Costo de CDN BPK ≤ 1 PB (Fijo)</t>
  </si>
  <si>
    <t>Costo por TB Consumido</t>
  </si>
  <si>
    <t>Costo por Dispositivo</t>
  </si>
  <si>
    <t>Costo por Usuario</t>
  </si>
  <si>
    <t>Costo por Usuarios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</si>
</sst>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&quot;$&quot;#,##0.00"/>
  </numFmts>
  <fonts count="6">
    <font>
      <sz val="10"/>
      <color rgb="FF000000"/>
      <name val="Arial"/>
      <scheme val="minor"/>
    </font>
    <font>
      <b/>
      <sz val="10"/>
      <color theme="1"/>
      <name val="Comfortaa"/>
    </font>
    <font>
      <b/>
      <sz val="10"/>
      <color rgb="FFFFFFFF"/>
      <name val="Comfortaa"/>
    </font>
    <font>
      <b/>
      <sz val="10"/>
      <color rgb="FF000000"/>
      <name val="Comfortaa"/>
    </font>
    <font>
      <sz val="10"/>
      <color theme="1"/>
      <name val="Comfortaa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041AE"/>
        <bgColor rgb="FFC041AE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3" fontId="2" fillId="3" borderId="1" xfId="0" applyNumberFormat="1" applyFont="1" applyFill="1" applyBorder="1" applyAlignment="1">
      <alignment horizontal="center"/>
    </xf>
    <xf numFmtId="0" fontId="3" fillId="4" borderId="0" xfId="0" applyFont="1" applyFill="1"/>
    <xf numFmtId="0" fontId="1" fillId="5" borderId="1" xfId="0" applyFont="1" applyFill="1" applyBorder="1"/>
    <xf numFmtId="3" fontId="1" fillId="5" borderId="1" xfId="0" applyNumberFormat="1" applyFont="1" applyFill="1" applyBorder="1" applyAlignment="1">
      <alignment horizontal="center"/>
    </xf>
    <xf numFmtId="0" fontId="1" fillId="6" borderId="1" xfId="0" applyFont="1" applyFill="1" applyBorder="1"/>
    <xf numFmtId="3" fontId="1" fillId="6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0" fontId="1" fillId="2" borderId="6" xfId="0" applyFont="1" applyFill="1" applyBorder="1"/>
    <xf numFmtId="0" fontId="1" fillId="2" borderId="5" xfId="0" applyFont="1" applyFill="1" applyBorder="1"/>
    <xf numFmtId="166" fontId="4" fillId="2" borderId="5" xfId="0" applyNumberFormat="1" applyFont="1" applyFill="1" applyBorder="1" applyAlignment="1">
      <alignment horizontal="center"/>
    </xf>
    <xf numFmtId="166" fontId="4" fillId="2" borderId="5" xfId="0" applyNumberFormat="1" applyFont="1" applyFill="1" applyBorder="1" applyAlignment="1">
      <alignment horizontal="center"/>
    </xf>
    <xf numFmtId="166" fontId="1" fillId="6" borderId="2" xfId="0" applyNumberFormat="1" applyFont="1" applyFill="1" applyBorder="1" applyAlignment="1">
      <alignment horizontal="center"/>
    </xf>
    <xf numFmtId="0" fontId="5" fillId="0" borderId="3" xfId="0" applyFont="1" applyBorder="1"/>
    <xf numFmtId="0" fontId="1" fillId="5" borderId="2" xfId="0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166" fontId="4" fillId="2" borderId="2" xfId="0" applyNumberFormat="1" applyFont="1" applyFill="1" applyBorder="1" applyAlignment="1">
      <alignment horizontal="center"/>
    </xf>
    <xf numFmtId="166" fontId="4" fillId="2" borderId="4" xfId="0" applyNumberFormat="1" applyFont="1" applyFill="1" applyBorder="1" applyAlignment="1">
      <alignment horizontal="center"/>
    </xf>
    <xf numFmtId="0" fontId="5" fillId="0" borderId="7" xfId="0" applyFont="1" applyBorder="1"/>
    <xf numFmtId="3" fontId="4" fillId="2" borderId="2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tabSelected="1" zoomScale="150" zoomScaleNormal="150" workbookViewId="0">
      <selection activeCell="D8" sqref="D8"/>
    </sheetView>
  </sheetViews>
  <sheetFormatPr baseColWidth="10" defaultColWidth="12.6640625" defaultRowHeight="15.75" customHeight="1"/>
  <cols>
    <col min="1" max="1" width="61.33203125" bestFit="1" customWidth="1"/>
    <col min="2" max="2" width="14.109375" customWidth="1"/>
    <col min="3" max="3" width="17.21875" customWidth="1"/>
  </cols>
  <sheetData>
    <row r="1" spans="1:3" ht="13.2">
      <c r="A1" s="1" t="s">
        <v>0</v>
      </c>
      <c r="B1" s="2" t="s">
        <v>1</v>
      </c>
      <c r="C1" s="3" t="s">
        <v>2</v>
      </c>
    </row>
    <row r="2" spans="1:3" ht="13.2">
      <c r="A2" s="4" t="s">
        <v>3</v>
      </c>
      <c r="B2" s="5">
        <v>3919</v>
      </c>
      <c r="C2" s="5">
        <v>7958</v>
      </c>
    </row>
    <row r="3" spans="1:3" ht="13.2">
      <c r="A3" s="6" t="s">
        <v>4</v>
      </c>
      <c r="B3" s="7">
        <v>3</v>
      </c>
      <c r="C3" s="7">
        <v>2</v>
      </c>
    </row>
    <row r="4" spans="1:3" ht="13.2">
      <c r="A4" s="1" t="s">
        <v>5</v>
      </c>
      <c r="B4" s="8">
        <f t="shared" ref="B4:C4" si="0">B2*B3</f>
        <v>11757</v>
      </c>
      <c r="C4" s="8">
        <f t="shared" si="0"/>
        <v>15916</v>
      </c>
    </row>
    <row r="5" spans="1:3" ht="13.2">
      <c r="A5" s="1" t="s">
        <v>6</v>
      </c>
      <c r="B5" s="20">
        <f>B2+C2</f>
        <v>11877</v>
      </c>
      <c r="C5" s="14"/>
    </row>
    <row r="6" spans="1:3" ht="13.2">
      <c r="A6" s="1" t="s">
        <v>7</v>
      </c>
      <c r="B6" s="20">
        <f>B4+C4</f>
        <v>27673</v>
      </c>
      <c r="C6" s="14"/>
    </row>
    <row r="7" spans="1:3" ht="13.2">
      <c r="A7" s="6" t="s">
        <v>8</v>
      </c>
      <c r="B7" s="21">
        <v>3</v>
      </c>
      <c r="C7" s="14"/>
    </row>
    <row r="8" spans="1:3" ht="13.2">
      <c r="A8" s="1" t="s">
        <v>9</v>
      </c>
      <c r="B8" s="22">
        <f>B7*60*60/8/1024</f>
        <v>1.318359375</v>
      </c>
      <c r="C8" s="14"/>
    </row>
    <row r="9" spans="1:3" ht="13.2">
      <c r="A9" s="1" t="s">
        <v>10</v>
      </c>
      <c r="B9" s="23">
        <f>(B11/B6)*(1024)</f>
        <v>37.769911049764815</v>
      </c>
      <c r="C9" s="14"/>
    </row>
    <row r="10" spans="1:3" ht="13.2">
      <c r="A10" s="4" t="s">
        <v>11</v>
      </c>
      <c r="B10" s="15">
        <v>950610</v>
      </c>
      <c r="C10" s="14"/>
    </row>
    <row r="11" spans="1:3" ht="13.2">
      <c r="A11" s="1" t="s">
        <v>12</v>
      </c>
      <c r="B11" s="16">
        <f>B10/931.32257461548</f>
        <v>1020.7097153126384</v>
      </c>
      <c r="C11" s="14"/>
    </row>
    <row r="12" spans="1:3" ht="13.2">
      <c r="A12" s="6" t="s">
        <v>13</v>
      </c>
      <c r="B12" s="13">
        <v>75000</v>
      </c>
      <c r="C12" s="14"/>
    </row>
    <row r="13" spans="1:3" ht="13.2">
      <c r="A13" s="1" t="s">
        <v>14</v>
      </c>
      <c r="B13" s="17">
        <f>B12/B11</f>
        <v>73.478285623085171</v>
      </c>
      <c r="C13" s="14"/>
    </row>
    <row r="14" spans="1:3" ht="13.2">
      <c r="A14" s="9" t="s">
        <v>15</v>
      </c>
      <c r="B14" s="18">
        <f>B12/B6</f>
        <v>2.7102229610089257</v>
      </c>
      <c r="C14" s="19"/>
    </row>
    <row r="15" spans="1:3" ht="13.2">
      <c r="A15" s="10" t="s">
        <v>16</v>
      </c>
      <c r="B15" s="11">
        <f>B14*B3</f>
        <v>8.130668883026777</v>
      </c>
      <c r="C15" s="11">
        <f>B14*C3</f>
        <v>5.4204459220178514</v>
      </c>
    </row>
    <row r="16" spans="1:3" ht="15.75" customHeight="1">
      <c r="A16" s="10" t="s">
        <v>17</v>
      </c>
      <c r="B16" s="12">
        <f>B12/B5</f>
        <v>6.3147259408941654</v>
      </c>
      <c r="C16" s="12"/>
    </row>
  </sheetData>
  <mergeCells count="11">
    <mergeCell ref="B5:C5"/>
    <mergeCell ref="B6:C6"/>
    <mergeCell ref="B7:C7"/>
    <mergeCell ref="B8:C8"/>
    <mergeCell ref="B9:C9"/>
    <mergeCell ref="B16:C16"/>
    <mergeCell ref="B12:C12"/>
    <mergeCell ref="B10:C10"/>
    <mergeCell ref="B11:C11"/>
    <mergeCell ref="B13:C13"/>
    <mergeCell ref="B14:C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Stargroup</cp:lastModifiedBy>
  <dcterms:modified xsi:type="dcterms:W3CDTF">2026-08-07T18:42:07Z</dcterms:modified>
</cp:coreProperties>
</file>